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five\Desktop\조상연\Program\주식\"/>
    </mc:Choice>
  </mc:AlternateContent>
  <xr:revisionPtr revIDLastSave="0" documentId="8_{96BF8CDA-BD22-4FC6-9F4D-A3B25795D578}" xr6:coauthVersionLast="47" xr6:coauthVersionMax="47" xr10:uidLastSave="{00000000-0000-0000-0000-000000000000}"/>
  <bookViews>
    <workbookView xWindow="30612" yWindow="2652" windowWidth="23256" windowHeight="12456" xr2:uid="{5E36B44F-20F2-49CC-BB4F-DAED26884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3" i="1"/>
  <c r="I4" i="1"/>
  <c r="I5" i="1"/>
  <c r="I6" i="1"/>
  <c r="I7" i="1"/>
  <c r="I8" i="1"/>
  <c r="I9" i="1"/>
  <c r="I10" i="1"/>
  <c r="I2" i="1"/>
  <c r="H11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2" i="1"/>
  <c r="H2" i="1" s="1"/>
</calcChain>
</file>

<file path=xl/sharedStrings.xml><?xml version="1.0" encoding="utf-8"?>
<sst xmlns="http://schemas.openxmlformats.org/spreadsheetml/2006/main" count="24" uniqueCount="24">
  <si>
    <t>종목명</t>
    <phoneticPr fontId="1" type="noConversion"/>
  </si>
  <si>
    <t>TIGER 미국S&amp;P500</t>
    <phoneticPr fontId="1" type="noConversion"/>
  </si>
  <si>
    <t>KODEX 200TR</t>
    <phoneticPr fontId="1" type="noConversion"/>
  </si>
  <si>
    <t>TIGER 미국배당다우존스</t>
    <phoneticPr fontId="1" type="noConversion"/>
  </si>
  <si>
    <t>파크시스템스</t>
    <phoneticPr fontId="1" type="noConversion"/>
  </si>
  <si>
    <t>SK하이닉스</t>
    <phoneticPr fontId="1" type="noConversion"/>
  </si>
  <si>
    <t>KODEX 미국나스닥100</t>
    <phoneticPr fontId="1" type="noConversion"/>
  </si>
  <si>
    <t>현대로템</t>
    <phoneticPr fontId="1" type="noConversion"/>
  </si>
  <si>
    <t>PLUS 고배당주</t>
    <phoneticPr fontId="1" type="noConversion"/>
  </si>
  <si>
    <t>SOL 금융지주플러스고배당</t>
    <phoneticPr fontId="1" type="noConversion"/>
  </si>
  <si>
    <t>삼성물산</t>
    <phoneticPr fontId="1" type="noConversion"/>
  </si>
  <si>
    <t>LIG넥스원</t>
    <phoneticPr fontId="1" type="noConversion"/>
  </si>
  <si>
    <t>ACE KRX금현물</t>
    <phoneticPr fontId="1" type="noConversion"/>
  </si>
  <si>
    <t>삼성전자</t>
    <phoneticPr fontId="1" type="noConversion"/>
  </si>
  <si>
    <t>보유수량</t>
    <phoneticPr fontId="1" type="noConversion"/>
  </si>
  <si>
    <t>계좌구분</t>
    <phoneticPr fontId="1" type="noConversion"/>
  </si>
  <si>
    <t>ISA</t>
    <phoneticPr fontId="1" type="noConversion"/>
  </si>
  <si>
    <t>연금</t>
    <phoneticPr fontId="1" type="noConversion"/>
  </si>
  <si>
    <t>최고가</t>
    <phoneticPr fontId="1" type="noConversion"/>
  </si>
  <si>
    <t>매입단가</t>
    <phoneticPr fontId="1" type="noConversion"/>
  </si>
  <si>
    <t>매도수익단가</t>
    <phoneticPr fontId="1" type="noConversion"/>
  </si>
  <si>
    <t>매도수익가</t>
    <phoneticPr fontId="1" type="noConversion"/>
  </si>
  <si>
    <t>매도기준단가</t>
    <phoneticPr fontId="1" type="noConversion"/>
  </si>
  <si>
    <t>매도단가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</si>
</sst>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_);[Red]\(#,##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0" applyNumberFormat="1" applyFill="1" applyBorder="1">
      <alignment vertical="center"/>
    </xf>
    <xf numFmtId="177" fontId="0" fillId="0" borderId="0" xfId="0" applyNumberFormat="1">
      <alignment vertical="center"/>
    </xf>
    <xf numFmtId="38" fontId="0" fillId="0" borderId="1" xfId="0" applyNumberFormat="1" applyBorder="1">
      <alignment vertical="center"/>
    </xf>
    <xf numFmtId="3" fontId="0" fillId="0" borderId="1" xfId="0" applyNumberFormat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3" fontId="0" fillId="0" borderId="1" xfId="0" applyNumberFormat="1" applyFill="1" applyBorder="1" applyAlignment="1">
      <alignment vertical="center"/>
    </xf>
  </cellXfs>
  <cellStyles count="1">
    <cellStyle name="표준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E967-48E7-4859-A5A0-8CFE5DA234D4}">
  <dimension ref="A1:I22"/>
  <sheetViews>
    <sheetView tabSelected="1" workbookViewId="0">
      <selection activeCell="G2" sqref="G2"/>
    </sheetView>
  </sheetViews>
  <sheetFormatPr defaultRowHeight="16.5" x14ac:dyDescent="0.3"/>
  <cols>
    <col min="2" max="2" width="25.75" bestFit="1" customWidth="1"/>
    <col min="3" max="3" width="9" style="2" bestFit="1" customWidth="1"/>
    <col min="4" max="4" width="7.875" style="3" bestFit="1" customWidth="1"/>
    <col min="5" max="5" width="9" style="3" bestFit="1" customWidth="1"/>
    <col min="6" max="6" width="13" style="1" bestFit="1" customWidth="1"/>
    <col min="7" max="7" width="9" style="1" bestFit="1" customWidth="1"/>
    <col min="8" max="8" width="13" bestFit="1" customWidth="1"/>
    <col min="9" max="9" width="9.875" style="14" bestFit="1" customWidth="1"/>
  </cols>
  <sheetData>
    <row r="1" spans="1:9" s="2" customFormat="1" x14ac:dyDescent="0.3">
      <c r="A1" s="4" t="s">
        <v>15</v>
      </c>
      <c r="B1" s="4" t="s">
        <v>0</v>
      </c>
      <c r="C1" s="4" t="s">
        <v>14</v>
      </c>
      <c r="D1" s="5" t="s">
        <v>18</v>
      </c>
      <c r="E1" s="5" t="s">
        <v>19</v>
      </c>
      <c r="F1" s="5" t="s">
        <v>22</v>
      </c>
      <c r="G1" s="5" t="s">
        <v>23</v>
      </c>
      <c r="H1" s="4" t="s">
        <v>20</v>
      </c>
      <c r="I1" s="17" t="s">
        <v>21</v>
      </c>
    </row>
    <row r="2" spans="1:9" x14ac:dyDescent="0.3">
      <c r="A2" s="9"/>
      <c r="B2" s="10" t="s">
        <v>5</v>
      </c>
      <c r="C2" s="11">
        <v>5</v>
      </c>
      <c r="D2" s="18">
        <v>980000</v>
      </c>
      <c r="E2" s="18">
        <v>198369</v>
      </c>
      <c r="F2" s="13">
        <v>956000</v>
      </c>
      <c r="G2" s="13">
        <f>(F2*0.9)</f>
        <v>860400</v>
      </c>
      <c r="H2" s="8">
        <f>G2-E2</f>
        <v>662031</v>
      </c>
      <c r="I2" s="15">
        <f>H2*C2</f>
        <v>3310155</v>
      </c>
    </row>
    <row r="3" spans="1:9" x14ac:dyDescent="0.3">
      <c r="A3" s="9"/>
      <c r="B3" s="10" t="s">
        <v>10</v>
      </c>
      <c r="C3" s="11">
        <v>6</v>
      </c>
      <c r="D3" s="18">
        <v>344500</v>
      </c>
      <c r="E3" s="18">
        <v>119898</v>
      </c>
      <c r="F3" s="13">
        <v>333500</v>
      </c>
      <c r="G3" s="13">
        <f t="shared" ref="G3:G10" si="0">(F3*0.9)</f>
        <v>300150</v>
      </c>
      <c r="H3" s="8">
        <f t="shared" ref="H3:H10" si="1">G3-E3</f>
        <v>180252</v>
      </c>
      <c r="I3" s="15">
        <f t="shared" ref="I3:I10" si="2">H3*C3</f>
        <v>1081512</v>
      </c>
    </row>
    <row r="4" spans="1:9" x14ac:dyDescent="0.3">
      <c r="A4" s="9"/>
      <c r="B4" s="10" t="s">
        <v>7</v>
      </c>
      <c r="C4" s="11">
        <v>17</v>
      </c>
      <c r="D4" s="18">
        <v>249500</v>
      </c>
      <c r="E4" s="18">
        <v>120032</v>
      </c>
      <c r="F4" s="13">
        <v>222500</v>
      </c>
      <c r="G4" s="13">
        <f t="shared" si="0"/>
        <v>200250</v>
      </c>
      <c r="H4" s="8">
        <f t="shared" si="1"/>
        <v>80218</v>
      </c>
      <c r="I4" s="15">
        <f t="shared" si="2"/>
        <v>1363706</v>
      </c>
    </row>
    <row r="5" spans="1:9" x14ac:dyDescent="0.3">
      <c r="A5" s="9"/>
      <c r="B5" s="10" t="s">
        <v>11</v>
      </c>
      <c r="C5" s="11">
        <v>3</v>
      </c>
      <c r="D5" s="18">
        <v>660000</v>
      </c>
      <c r="E5" s="18">
        <v>203558</v>
      </c>
      <c r="F5" s="13">
        <v>495000</v>
      </c>
      <c r="G5" s="13">
        <f t="shared" si="0"/>
        <v>445500</v>
      </c>
      <c r="H5" s="8">
        <f t="shared" si="1"/>
        <v>241942</v>
      </c>
      <c r="I5" s="15">
        <f t="shared" si="2"/>
        <v>725826</v>
      </c>
    </row>
    <row r="6" spans="1:9" x14ac:dyDescent="0.3">
      <c r="A6" s="9"/>
      <c r="B6" s="10" t="s">
        <v>4</v>
      </c>
      <c r="C6" s="11">
        <v>24</v>
      </c>
      <c r="D6" s="18">
        <v>321500</v>
      </c>
      <c r="E6" s="18">
        <v>170768</v>
      </c>
      <c r="F6" s="13">
        <v>275000</v>
      </c>
      <c r="G6" s="13">
        <f t="shared" si="0"/>
        <v>247500</v>
      </c>
      <c r="H6" s="8">
        <f t="shared" si="1"/>
        <v>76732</v>
      </c>
      <c r="I6" s="15">
        <f t="shared" si="2"/>
        <v>1841568</v>
      </c>
    </row>
    <row r="7" spans="1:9" x14ac:dyDescent="0.3">
      <c r="A7" s="9" t="s">
        <v>16</v>
      </c>
      <c r="B7" s="10" t="s">
        <v>8</v>
      </c>
      <c r="C7" s="11">
        <v>78</v>
      </c>
      <c r="D7" s="18">
        <v>30380</v>
      </c>
      <c r="E7" s="18">
        <v>19960</v>
      </c>
      <c r="F7" s="13">
        <v>29295</v>
      </c>
      <c r="G7" s="13">
        <f t="shared" si="0"/>
        <v>26365.5</v>
      </c>
      <c r="H7" s="8">
        <f t="shared" si="1"/>
        <v>6405.5</v>
      </c>
      <c r="I7" s="15">
        <f t="shared" si="2"/>
        <v>499629</v>
      </c>
    </row>
    <row r="8" spans="1:9" x14ac:dyDescent="0.3">
      <c r="A8" s="9"/>
      <c r="B8" s="10" t="s">
        <v>9</v>
      </c>
      <c r="C8" s="11">
        <v>92</v>
      </c>
      <c r="D8" s="18">
        <v>25110</v>
      </c>
      <c r="E8" s="18">
        <v>16402</v>
      </c>
      <c r="F8" s="13">
        <v>24315</v>
      </c>
      <c r="G8" s="13">
        <f t="shared" si="0"/>
        <v>21883.5</v>
      </c>
      <c r="H8" s="8">
        <f t="shared" si="1"/>
        <v>5481.5</v>
      </c>
      <c r="I8" s="15">
        <f t="shared" si="2"/>
        <v>504298</v>
      </c>
    </row>
    <row r="9" spans="1:9" x14ac:dyDescent="0.3">
      <c r="A9" s="9"/>
      <c r="B9" s="10" t="s">
        <v>12</v>
      </c>
      <c r="C9" s="11">
        <v>30</v>
      </c>
      <c r="D9" s="18">
        <v>37890</v>
      </c>
      <c r="E9" s="18">
        <v>30623</v>
      </c>
      <c r="F9" s="13">
        <v>33575</v>
      </c>
      <c r="G9" s="13">
        <f t="shared" si="0"/>
        <v>30217.5</v>
      </c>
      <c r="H9" s="8">
        <f t="shared" si="1"/>
        <v>-405.5</v>
      </c>
      <c r="I9" s="15">
        <f t="shared" si="2"/>
        <v>-12165</v>
      </c>
    </row>
    <row r="10" spans="1:9" x14ac:dyDescent="0.3">
      <c r="A10" s="9"/>
      <c r="B10" s="10" t="s">
        <v>13</v>
      </c>
      <c r="C10" s="11">
        <v>4</v>
      </c>
      <c r="D10" s="18">
        <v>197600</v>
      </c>
      <c r="E10" s="18">
        <v>157474</v>
      </c>
      <c r="F10" s="13">
        <v>194200</v>
      </c>
      <c r="G10" s="13">
        <f t="shared" si="0"/>
        <v>174780</v>
      </c>
      <c r="H10" s="8">
        <f t="shared" si="1"/>
        <v>17306</v>
      </c>
      <c r="I10" s="15">
        <f t="shared" si="2"/>
        <v>69224</v>
      </c>
    </row>
    <row r="11" spans="1:9" x14ac:dyDescent="0.3">
      <c r="A11" s="6"/>
      <c r="B11" s="6"/>
      <c r="C11" s="7"/>
      <c r="D11" s="16"/>
      <c r="E11" s="16"/>
      <c r="F11" s="8"/>
      <c r="G11" s="8"/>
      <c r="H11" s="8">
        <f>SUM(H2:H10)</f>
        <v>1269962.5</v>
      </c>
      <c r="I11" s="15">
        <f>SUM(I2:I10)</f>
        <v>9383753</v>
      </c>
    </row>
    <row r="19" spans="1:7" x14ac:dyDescent="0.3">
      <c r="A19" s="9" t="s">
        <v>17</v>
      </c>
      <c r="B19" s="10" t="s">
        <v>2</v>
      </c>
      <c r="C19" s="11"/>
      <c r="D19" s="12"/>
      <c r="E19" s="12"/>
      <c r="F19" s="13">
        <v>31280</v>
      </c>
      <c r="G19" s="13"/>
    </row>
    <row r="20" spans="1:7" x14ac:dyDescent="0.3">
      <c r="A20" s="9"/>
      <c r="B20" s="10" t="s">
        <v>1</v>
      </c>
      <c r="C20" s="11"/>
      <c r="D20" s="12"/>
      <c r="E20" s="12"/>
      <c r="F20" s="13">
        <v>24510</v>
      </c>
      <c r="G20" s="13"/>
    </row>
    <row r="21" spans="1:7" x14ac:dyDescent="0.3">
      <c r="A21" s="9"/>
      <c r="B21" s="10" t="s">
        <v>3</v>
      </c>
      <c r="C21" s="11"/>
      <c r="D21" s="12"/>
      <c r="E21" s="12"/>
      <c r="F21" s="13">
        <v>14435</v>
      </c>
      <c r="G21" s="13"/>
    </row>
    <row r="22" spans="1:7" x14ac:dyDescent="0.3">
      <c r="A22" s="9"/>
      <c r="B22" s="10" t="s">
        <v>6</v>
      </c>
      <c r="C22" s="11"/>
      <c r="D22" s="12"/>
      <c r="E22" s="12"/>
      <c r="F22" s="13">
        <v>23700</v>
      </c>
      <c r="G22" s="13"/>
    </row>
  </sheetData>
  <mergeCells count="3">
    <mergeCell ref="A2:A6"/>
    <mergeCell ref="A7:A10"/>
    <mergeCell ref="A19:A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Brooks</dc:creator>
  <cp:lastModifiedBy>Michael Brooks</cp:lastModifiedBy>
  <dcterms:created xsi:type="dcterms:W3CDTF">2026-02-23T11:09:59Z</dcterms:created>
  <dcterms:modified xsi:type="dcterms:W3CDTF">2026-02-23T14:41:00Z</dcterms:modified>
</cp:coreProperties>
</file>